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요약" sheetId="1" state="visible" r:id="rId3"/>
    <sheet name="진단" sheetId="2" state="visible" r:id="rId4"/>
    <sheet name="실행플랜" sheetId="3" state="visible" r:id="rId5"/>
    <sheet name="설정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<sst xmlns="http://schemas.openxmlformats.org/spreadsheetml/2006/main" count="72" uniqueCount="47">
  <si>
    <t xml:space="preserve">픽스업 스튜디오</t>
  </si>
  <si>
    <r>
      <rPr>
        <b val="true"/>
        <sz val="12"/>
        <color rgb="FF1A1A1A"/>
        <rFont val="DejaVu Sans"/>
        <family val="2"/>
      </rPr>
      <t xml:space="preserve">디지털 진단 리포트 </t>
    </r>
    <r>
      <rPr>
        <b val="true"/>
        <sz val="12"/>
        <color rgb="FF1A1A1A"/>
        <rFont val="Arial"/>
        <family val="0"/>
        <charset val="1"/>
      </rPr>
      <t xml:space="preserve">· </t>
    </r>
    <r>
      <rPr>
        <b val="true"/>
        <sz val="12"/>
        <color rgb="FF1A1A1A"/>
        <rFont val="DejaVu Sans"/>
        <family val="2"/>
      </rPr>
      <t xml:space="preserve">요약</t>
    </r>
  </si>
  <si>
    <r>
      <rPr>
        <sz val="9"/>
        <color rgb="FF6B7280"/>
        <rFont val="DejaVu Sans"/>
        <family val="2"/>
      </rPr>
      <t xml:space="preserve">네이버 </t>
    </r>
    <r>
      <rPr>
        <sz val="9"/>
        <color rgb="FF6B7280"/>
        <rFont val="Arial"/>
        <family val="0"/>
        <charset val="1"/>
      </rPr>
      <t xml:space="preserve">· </t>
    </r>
    <r>
      <rPr>
        <sz val="9"/>
        <color rgb="FF6B7280"/>
        <rFont val="DejaVu Sans"/>
        <family val="2"/>
      </rPr>
      <t xml:space="preserve">인스타그램 </t>
    </r>
    <r>
      <rPr>
        <sz val="9"/>
        <color rgb="FF6B7280"/>
        <rFont val="Arial"/>
        <family val="0"/>
        <charset val="1"/>
      </rPr>
      <t xml:space="preserve">· </t>
    </r>
    <r>
      <rPr>
        <sz val="9"/>
        <color rgb="FF6B7280"/>
        <rFont val="DejaVu Sans"/>
        <family val="2"/>
      </rPr>
      <t xml:space="preserve">카카오톡 통합 진단</t>
    </r>
  </si>
  <si>
    <t xml:space="preserve">업체명</t>
  </si>
  <si>
    <t xml:space="preserve">업종</t>
  </si>
  <si>
    <t xml:space="preserve">진단일</t>
  </si>
  <si>
    <t xml:space="preserve">담당자</t>
  </si>
  <si>
    <t xml:space="preserve">카테고리</t>
  </si>
  <si>
    <r>
      <rPr>
        <b val="true"/>
        <sz val="10"/>
        <color rgb="FFFFFFFF"/>
        <rFont val="DejaVu Sans"/>
        <family val="2"/>
      </rPr>
      <t xml:space="preserve">점수 </t>
    </r>
    <r>
      <rPr>
        <b val="true"/>
        <sz val="10"/>
        <color rgb="FFFFFFFF"/>
        <rFont val="Arial"/>
        <family val="0"/>
        <charset val="1"/>
      </rPr>
      <t xml:space="preserve">(100</t>
    </r>
    <r>
      <rPr>
        <b val="true"/>
        <sz val="10"/>
        <color rgb="FFFFFFFF"/>
        <rFont val="DejaVu Sans"/>
        <family val="2"/>
      </rPr>
      <t xml:space="preserve">점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</si>
  <si>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비중</t>
  </si>
  <si>
    <t xml:space="preserve">등급</t>
  </si>
  <si>
    <r>
      <rPr>
        <b val="true"/>
        <sz val="10"/>
        <color rgb="FF16A34A"/>
        <rFont val="DejaVu Sans"/>
        <family val="2"/>
      </rPr>
      <t xml:space="preserve">네이버 </t>
    </r>
    <r>
      <rPr>
        <b val="true"/>
        <sz val="10"/>
        <color rgb="FF16A34A"/>
        <rFont val="Arial"/>
        <family val="0"/>
        <charset val="1"/>
      </rPr>
      <t xml:space="preserve">(</t>
    </r>
    <r>
      <rPr>
        <b val="true"/>
        <sz val="10"/>
        <color rgb="FF16A34A"/>
        <rFont val="DejaVu Sans"/>
        <family val="2"/>
      </rPr>
      <t xml:space="preserve">플레이스</t>
    </r>
    <r>
      <rPr>
        <b val="true"/>
        <sz val="10"/>
        <color rgb="FF16A34A"/>
        <rFont val="Arial"/>
        <family val="0"/>
        <charset val="1"/>
      </rPr>
      <t xml:space="preserve">+</t>
    </r>
    <r>
      <rPr>
        <b val="true"/>
        <sz val="10"/>
        <color rgb="FF16A34A"/>
        <rFont val="DejaVu Sans"/>
        <family val="2"/>
      </rPr>
      <t xml:space="preserve">블로그</t>
    </r>
    <r>
      <rPr>
        <b val="true"/>
        <sz val="10"/>
        <color rgb="FF16A34A"/>
        <rFont val="Arial"/>
        <family val="0"/>
        <charset val="1"/>
      </rPr>
      <t xml:space="preserve">)</t>
    </r>
  </si>
  <si>
    <t xml:space="preserve">인스타그램</t>
  </si>
  <si>
    <t xml:space="preserve">카카오톡</t>
  </si>
  <si>
    <t xml:space="preserve">구매까지의 길</t>
  </si>
  <si>
    <t xml:space="preserve">종합 점수</t>
  </si>
  <si>
    <r>
      <rPr>
        <sz val="9"/>
        <color rgb="FF6B7280"/>
        <rFont val="DejaVu Sans"/>
        <family val="2"/>
      </rPr>
      <t xml:space="preserve">등급 기준</t>
    </r>
    <r>
      <rPr>
        <sz val="9"/>
        <color rgb="FF6B7280"/>
        <rFont val="Arial"/>
        <family val="0"/>
        <charset val="1"/>
      </rPr>
      <t xml:space="preserve">: 🟢 80</t>
    </r>
    <r>
      <rPr>
        <sz val="9"/>
        <color rgb="FF6B7280"/>
        <rFont val="DejaVu Sans"/>
        <family val="2"/>
      </rPr>
      <t xml:space="preserve">점</t>
    </r>
    <r>
      <rPr>
        <sz val="9"/>
        <color rgb="FF6B7280"/>
        <rFont val="Arial"/>
        <family val="0"/>
        <charset val="1"/>
      </rPr>
      <t xml:space="preserve">+ </t>
    </r>
    <r>
      <rPr>
        <sz val="9"/>
        <color rgb="FF6B7280"/>
        <rFont val="DejaVu Sans"/>
        <family val="2"/>
      </rPr>
      <t xml:space="preserve">좋음 </t>
    </r>
    <r>
      <rPr>
        <sz val="9"/>
        <color rgb="FF6B7280"/>
        <rFont val="Arial"/>
        <family val="0"/>
        <charset val="1"/>
      </rPr>
      <t xml:space="preserve">· 🟡 50–79 </t>
    </r>
    <r>
      <rPr>
        <sz val="9"/>
        <color rgb="FF6B7280"/>
        <rFont val="DejaVu Sans"/>
        <family val="2"/>
      </rPr>
      <t xml:space="preserve">개선 필요 </t>
    </r>
    <r>
      <rPr>
        <sz val="9"/>
        <color rgb="FF6B7280"/>
        <rFont val="Arial"/>
        <family val="0"/>
        <charset val="1"/>
      </rPr>
      <t xml:space="preserve">· 🔴 50</t>
    </r>
    <r>
      <rPr>
        <sz val="9"/>
        <color rgb="FF6B7280"/>
        <rFont val="DejaVu Sans"/>
        <family val="2"/>
      </rPr>
      <t xml:space="preserve">점 미만 시급</t>
    </r>
  </si>
  <si>
    <r>
      <rPr>
        <sz val="9"/>
        <color rgb="FF6B7280"/>
        <rFont val="DejaVu Sans"/>
        <family val="2"/>
      </rPr>
      <t xml:space="preserve">점수는 </t>
    </r>
    <r>
      <rPr>
        <sz val="9"/>
        <color rgb="FF6B7280"/>
        <rFont val="Arial"/>
        <family val="0"/>
        <charset val="1"/>
      </rPr>
      <t xml:space="preserve">'</t>
    </r>
    <r>
      <rPr>
        <sz val="9"/>
        <color rgb="FF6B7280"/>
        <rFont val="DejaVu Sans"/>
        <family val="2"/>
      </rPr>
      <t xml:space="preserve">진단</t>
    </r>
    <r>
      <rPr>
        <sz val="9"/>
        <color rgb="FF6B7280"/>
        <rFont val="Arial"/>
        <family val="0"/>
        <charset val="1"/>
      </rPr>
      <t xml:space="preserve">' </t>
    </r>
    <r>
      <rPr>
        <sz val="9"/>
        <color rgb="FF6B7280"/>
        <rFont val="DejaVu Sans"/>
        <family val="2"/>
      </rPr>
      <t xml:space="preserve">시트 입력 기준 자동 계산</t>
    </r>
    <r>
      <rPr>
        <sz val="9"/>
        <color rgb="FF6B7280"/>
        <rFont val="Arial"/>
        <family val="0"/>
        <charset val="1"/>
      </rPr>
      <t xml:space="preserve">. </t>
    </r>
    <r>
      <rPr>
        <sz val="9"/>
        <color rgb="FF6B7280"/>
        <rFont val="DejaVu Sans"/>
        <family val="2"/>
      </rPr>
      <t xml:space="preserve">가중치는 </t>
    </r>
    <r>
      <rPr>
        <sz val="9"/>
        <color rgb="FF6B7280"/>
        <rFont val="Arial"/>
        <family val="0"/>
        <charset val="1"/>
      </rPr>
      <t xml:space="preserve">'</t>
    </r>
    <r>
      <rPr>
        <sz val="9"/>
        <color rgb="FF6B7280"/>
        <rFont val="DejaVu Sans"/>
        <family val="2"/>
      </rPr>
      <t xml:space="preserve">설정</t>
    </r>
    <r>
      <rPr>
        <sz val="9"/>
        <color rgb="FF6B7280"/>
        <rFont val="Arial"/>
        <family val="0"/>
        <charset val="1"/>
      </rPr>
      <t xml:space="preserve">' </t>
    </r>
    <r>
      <rPr>
        <sz val="9"/>
        <color rgb="FF6B7280"/>
        <rFont val="DejaVu Sans"/>
        <family val="2"/>
      </rPr>
      <t xml:space="preserve">시트에서 조정 가능</t>
    </r>
    <r>
      <rPr>
        <sz val="9"/>
        <color rgb="FF6B7280"/>
        <rFont val="Arial"/>
        <family val="0"/>
        <charset val="1"/>
      </rPr>
      <t xml:space="preserve">.</t>
    </r>
  </si>
  <si>
    <r>
      <rPr>
        <b val="true"/>
        <sz val="16"/>
        <color rgb="FFFF5436"/>
        <rFont val="DejaVu Sans"/>
        <family val="2"/>
      </rPr>
      <t xml:space="preserve">픽스업 스튜디오 </t>
    </r>
    <r>
      <rPr>
        <b val="true"/>
        <sz val="16"/>
        <color rgb="FFFF5436"/>
        <rFont val="Arial"/>
        <family val="0"/>
        <charset val="1"/>
      </rPr>
      <t xml:space="preserve">· </t>
    </r>
    <r>
      <rPr>
        <b val="true"/>
        <sz val="16"/>
        <color rgb="FFFF5436"/>
        <rFont val="DejaVu Sans"/>
        <family val="2"/>
      </rPr>
      <t xml:space="preserve">디지털 진단 입력표</t>
    </r>
  </si>
  <si>
    <r>
      <rPr>
        <sz val="9"/>
        <color rgb="FF6B7280"/>
        <rFont val="DejaVu Sans"/>
        <family val="2"/>
      </rPr>
      <t xml:space="preserve">각 항목을 </t>
    </r>
    <r>
      <rPr>
        <sz val="9"/>
        <color rgb="FF6B7280"/>
        <rFont val="Arial"/>
        <family val="0"/>
        <charset val="1"/>
      </rPr>
      <t xml:space="preserve">0~5</t>
    </r>
    <r>
      <rPr>
        <sz val="9"/>
        <color rgb="FF6B7280"/>
        <rFont val="DejaVu Sans"/>
        <family val="2"/>
      </rPr>
      <t xml:space="preserve">점으로 평가하고 메모를 남기세요</t>
    </r>
    <r>
      <rPr>
        <sz val="9"/>
        <color rgb="FF6B7280"/>
        <rFont val="Arial"/>
        <family val="0"/>
        <charset val="1"/>
      </rPr>
      <t xml:space="preserve">. (0=</t>
    </r>
    <r>
      <rPr>
        <sz val="9"/>
        <color rgb="FF6B7280"/>
        <rFont val="DejaVu Sans"/>
        <family val="2"/>
      </rPr>
      <t xml:space="preserve">없음</t>
    </r>
    <r>
      <rPr>
        <sz val="9"/>
        <color rgb="FF6B7280"/>
        <rFont val="Arial"/>
        <family val="0"/>
        <charset val="1"/>
      </rPr>
      <t xml:space="preserve">/</t>
    </r>
    <r>
      <rPr>
        <sz val="9"/>
        <color rgb="FF6B7280"/>
        <rFont val="DejaVu Sans"/>
        <family val="2"/>
      </rPr>
      <t xml:space="preserve">심각</t>
    </r>
    <r>
      <rPr>
        <sz val="9"/>
        <color rgb="FF6B7280"/>
        <rFont val="Arial"/>
        <family val="0"/>
        <charset val="1"/>
      </rPr>
      <t xml:space="preserve">, 5=</t>
    </r>
    <r>
      <rPr>
        <sz val="9"/>
        <color rgb="FF6B7280"/>
        <rFont val="DejaVu Sans"/>
        <family val="2"/>
      </rPr>
      <t xml:space="preserve">완벽</t>
    </r>
    <r>
      <rPr>
        <sz val="9"/>
        <color rgb="FF6B7280"/>
        <rFont val="Arial"/>
        <family val="0"/>
        <charset val="1"/>
      </rPr>
      <t xml:space="preserve">)</t>
    </r>
  </si>
  <si>
    <t xml:space="preserve">항목</t>
  </si>
  <si>
    <r>
      <rPr>
        <b val="true"/>
        <sz val="10"/>
        <color rgb="FFFFFFFF"/>
        <rFont val="DejaVu Sans"/>
        <family val="2"/>
      </rPr>
      <t xml:space="preserve">점수 </t>
    </r>
    <r>
      <rPr>
        <b val="true"/>
        <sz val="10"/>
        <color rgb="FFFFFFFF"/>
        <rFont val="Arial"/>
        <family val="0"/>
        <charset val="1"/>
      </rPr>
      <t xml:space="preserve">(0-5)</t>
    </r>
  </si>
  <si>
    <t xml:space="preserve">메모</t>
  </si>
  <si>
    <t xml:space="preserve">네이버</t>
  </si>
  <si>
    <r>
      <rPr>
        <sz val="10"/>
        <color rgb="FF000000"/>
        <rFont val="DejaVu Sans"/>
        <family val="2"/>
      </rPr>
      <t xml:space="preserve">대표 사진 품질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첫인상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</si>
  <si>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DejaVu Sans"/>
        <family val="2"/>
      </rPr>
      <t xml:space="preserve">키워드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DejaVu Sans"/>
        <family val="2"/>
      </rPr>
      <t xml:space="preserve">업종 최적화</t>
    </r>
  </si>
  <si>
    <r>
      <rPr>
        <sz val="10"/>
        <color rgb="FF000000"/>
        <rFont val="DejaVu Sans"/>
        <family val="2"/>
      </rPr>
      <t xml:space="preserve">정보 최신화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영업시간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DejaVu Sans"/>
        <family val="2"/>
      </rPr>
      <t xml:space="preserve">주소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DejaVu Sans"/>
        <family val="2"/>
      </rPr>
      <t xml:space="preserve">메뉴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</si>
  <si>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DejaVu Sans"/>
        <family val="2"/>
      </rPr>
      <t xml:space="preserve">리뷰 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DejaVu Sans"/>
        <family val="2"/>
      </rPr>
      <t xml:space="preserve">응답 관리</t>
    </r>
  </si>
  <si>
    <r>
      <rPr>
        <sz val="10"/>
        <color rgb="FF000000"/>
        <rFont val="DejaVu Sans"/>
        <family val="2"/>
      </rPr>
      <t xml:space="preserve">블로그 활동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포스팅 빈도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</si>
  <si>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DejaVu Sans"/>
        <family val="2"/>
      </rPr>
      <t xml:space="preserve">프로필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DejaVu Sans"/>
        <family val="2"/>
      </rPr>
      <t xml:space="preserve">바이오</t>
    </r>
    <r>
      <rPr>
        <sz val="10"/>
        <color rgb="FF000000"/>
        <rFont val="Arial"/>
        <family val="0"/>
        <charset val="1"/>
      </rPr>
      <t xml:space="preserve">·CTA</t>
    </r>
  </si>
  <si>
    <t xml:space="preserve">링크인바이오 활용도</t>
  </si>
  <si>
    <r>
      <rPr>
        <sz val="10"/>
        <color rgb="FF000000"/>
        <rFont val="DejaVu Sans"/>
        <family val="2"/>
      </rPr>
      <t xml:space="preserve">게시 일관성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꾸준함</t>
    </r>
    <r>
      <rPr>
        <sz val="10"/>
        <color rgb="FF000000"/>
        <rFont val="Arial"/>
        <family val="0"/>
        <charset val="1"/>
      </rPr>
      <t xml:space="preserve">)</t>
    </r>
  </si>
  <si>
    <t xml:space="preserve">비주얼 퀄리티</t>
  </si>
  <si>
    <t xml:space="preserve">하이라이트 정리</t>
  </si>
  <si>
    <r>
      <rPr>
        <sz val="10"/>
        <color rgb="FF000000"/>
        <rFont val="DejaVu Sans"/>
        <family val="2"/>
      </rPr>
      <t xml:space="preserve">채널 개설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DejaVu Sans"/>
        <family val="2"/>
      </rPr>
      <t xml:space="preserve">운영</t>
    </r>
  </si>
  <si>
    <t xml:space="preserve">알림톡 설정</t>
  </si>
  <si>
    <r>
      <rPr>
        <sz val="10"/>
        <color rgb="FF000000"/>
        <rFont val="DejaVu Sans"/>
        <family val="2"/>
      </rPr>
      <t xml:space="preserve">고객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DejaVu Sans"/>
        <family val="2"/>
      </rPr>
      <t xml:space="preserve">단골 확보 </t>
    </r>
    <r>
      <rPr>
        <sz val="10"/>
        <color rgb="FF000000"/>
        <rFont val="Arial"/>
        <family val="0"/>
        <charset val="1"/>
      </rPr>
      <t xml:space="preserve">(DB)</t>
    </r>
  </si>
  <si>
    <r>
      <rPr>
        <sz val="10"/>
        <color rgb="FF000000"/>
        <rFont val="DejaVu Sans"/>
        <family val="2"/>
      </rPr>
      <t xml:space="preserve">구매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DejaVu Sans"/>
        <family val="2"/>
      </rPr>
      <t xml:space="preserve">예약 경로의 명확성</t>
    </r>
  </si>
  <si>
    <r>
      <rPr>
        <sz val="10"/>
        <color rgb="FF000000"/>
        <rFont val="Arial"/>
        <family val="0"/>
        <charset val="1"/>
      </rPr>
      <t xml:space="preserve">DM·</t>
    </r>
    <r>
      <rPr>
        <sz val="10"/>
        <color rgb="FF000000"/>
        <rFont val="DejaVu Sans"/>
        <family val="2"/>
      </rPr>
      <t xml:space="preserve">문의 응답 속도</t>
    </r>
  </si>
  <si>
    <r>
      <rPr>
        <b val="true"/>
        <sz val="16"/>
        <color rgb="FFFF5436"/>
        <rFont val="DejaVu Sans"/>
        <family val="2"/>
      </rPr>
      <t xml:space="preserve">픽스업 스튜디오 </t>
    </r>
    <r>
      <rPr>
        <b val="true"/>
        <sz val="16"/>
        <color rgb="FFFF5436"/>
        <rFont val="Arial"/>
        <family val="0"/>
        <charset val="1"/>
      </rPr>
      <t xml:space="preserve">· </t>
    </r>
    <r>
      <rPr>
        <b val="true"/>
        <sz val="16"/>
        <color rgb="FFFF5436"/>
        <rFont val="DejaVu Sans"/>
        <family val="2"/>
      </rPr>
      <t xml:space="preserve">우선순위 실행 플랜</t>
    </r>
  </si>
  <si>
    <r>
      <rPr>
        <sz val="9"/>
        <color rgb="FF6B7280"/>
        <rFont val="DejaVu Sans"/>
        <family val="2"/>
      </rPr>
      <t xml:space="preserve">우선순위 점수가 높은 항목</t>
    </r>
    <r>
      <rPr>
        <sz val="9"/>
        <color rgb="FF6B7280"/>
        <rFont val="Arial"/>
        <family val="0"/>
        <charset val="1"/>
      </rPr>
      <t xml:space="preserve">(=</t>
    </r>
    <r>
      <rPr>
        <sz val="9"/>
        <color rgb="FF6B7280"/>
        <rFont val="DejaVu Sans"/>
        <family val="2"/>
      </rPr>
      <t xml:space="preserve">낮은 점수</t>
    </r>
    <r>
      <rPr>
        <sz val="9"/>
        <color rgb="FF6B7280"/>
        <rFont val="Arial"/>
        <family val="0"/>
        <charset val="1"/>
      </rPr>
      <t xml:space="preserve">)</t>
    </r>
    <r>
      <rPr>
        <sz val="9"/>
        <color rgb="FF6B7280"/>
        <rFont val="DejaVu Sans"/>
        <family val="2"/>
      </rPr>
      <t xml:space="preserve">부터 실행하세요</t>
    </r>
    <r>
      <rPr>
        <sz val="9"/>
        <color rgb="FF6B7280"/>
        <rFont val="Arial"/>
        <family val="0"/>
        <charset val="1"/>
      </rPr>
      <t xml:space="preserve">. </t>
    </r>
    <r>
      <rPr>
        <sz val="9"/>
        <color rgb="FF6B7280"/>
        <rFont val="DejaVu Sans"/>
        <family val="2"/>
      </rPr>
      <t xml:space="preserve">표를 </t>
    </r>
    <r>
      <rPr>
        <sz val="9"/>
        <color rgb="FF6B7280"/>
        <rFont val="Arial"/>
        <family val="0"/>
        <charset val="1"/>
      </rPr>
      <t xml:space="preserve">'</t>
    </r>
    <r>
      <rPr>
        <sz val="9"/>
        <color rgb="FF6B7280"/>
        <rFont val="DejaVu Sans"/>
        <family val="2"/>
      </rPr>
      <t xml:space="preserve">우선순위</t>
    </r>
    <r>
      <rPr>
        <sz val="9"/>
        <color rgb="FF6B7280"/>
        <rFont val="Arial"/>
        <family val="0"/>
        <charset val="1"/>
      </rPr>
      <t xml:space="preserve">' </t>
    </r>
    <r>
      <rPr>
        <sz val="9"/>
        <color rgb="FF6B7280"/>
        <rFont val="DejaVu Sans"/>
        <family val="2"/>
      </rPr>
      <t xml:space="preserve">기준 내림차순 정렬</t>
    </r>
    <r>
      <rPr>
        <sz val="9"/>
        <color rgb="FF6B7280"/>
        <rFont val="Arial"/>
        <family val="0"/>
        <charset val="1"/>
      </rPr>
      <t xml:space="preserve">.</t>
    </r>
  </si>
  <si>
    <t xml:space="preserve">우선순위</t>
  </si>
  <si>
    <t xml:space="preserve">점수</t>
  </si>
  <si>
    <r>
      <rPr>
        <b val="true"/>
        <sz val="10"/>
        <color rgb="FFFFFFFF"/>
        <rFont val="DejaVu Sans"/>
        <family val="2"/>
      </rPr>
      <t xml:space="preserve">권장 조치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작성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</si>
  <si>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3"/>
        <color rgb="FF1A1A1A"/>
        <rFont val="DejaVu Sans"/>
        <family val="2"/>
      </rPr>
      <t xml:space="preserve">설정 </t>
    </r>
    <r>
      <rPr>
        <b val="true"/>
        <sz val="13"/>
        <color rgb="FF1A1A1A"/>
        <rFont val="Arial"/>
        <family val="0"/>
        <charset val="1"/>
      </rPr>
      <t xml:space="preserve">· </t>
    </r>
    <r>
      <rPr>
        <b val="true"/>
        <sz val="13"/>
        <color rgb="FF1A1A1A"/>
        <rFont val="DejaVu Sans"/>
        <family val="2"/>
      </rPr>
      <t xml:space="preserve">카테고리 가중치</t>
    </r>
  </si>
  <si>
    <r>
      <rPr>
        <sz val="9"/>
        <color rgb="FF6B7280"/>
        <rFont val="DejaVu Sans"/>
        <family val="2"/>
      </rPr>
      <t xml:space="preserve">합계는 </t>
    </r>
    <r>
      <rPr>
        <sz val="9"/>
        <color rgb="FF6B7280"/>
        <rFont val="Arial"/>
        <family val="0"/>
        <charset val="1"/>
      </rPr>
      <t xml:space="preserve">100% </t>
    </r>
    <r>
      <rPr>
        <sz val="9"/>
        <color rgb="FF6B7280"/>
        <rFont val="DejaVu Sans"/>
        <family val="2"/>
      </rPr>
      <t xml:space="preserve">여야 합니다</t>
    </r>
    <r>
      <rPr>
        <sz val="9"/>
        <color rgb="FF6B7280"/>
        <rFont val="Arial"/>
        <family val="0"/>
        <charset val="1"/>
      </rPr>
      <t xml:space="preserve">.</t>
    </r>
  </si>
  <si>
    <t xml:space="preserve">합계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</si>
</sst>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5436"/>
      <name val="DejaVu Sans"/>
      <family val="2"/>
    </font>
    <font>
      <b val="true"/>
      <sz val="12"/>
      <color rgb="FF1A1A1A"/>
      <name val="DejaVu Sans"/>
      <family val="2"/>
    </font>
    <font>
      <b val="true"/>
      <sz val="12"/>
      <color rgb="FF1A1A1A"/>
      <name val="Arial"/>
      <family val="0"/>
      <charset val="1"/>
    </font>
    <font>
      <sz val="9"/>
      <color rgb="FF6B7280"/>
      <name val="DejaVu Sans"/>
      <family val="2"/>
    </font>
    <font>
      <sz val="9"/>
      <color rgb="FF6B7280"/>
      <name val="Arial"/>
      <family val="0"/>
      <charset val="1"/>
    </font>
    <font>
      <b val="true"/>
      <sz val="10"/>
      <color rgb="FF1A1A1A"/>
      <name val="DejaVu Sans"/>
      <family val="2"/>
    </font>
    <font>
      <sz val="10"/>
      <color rgb="FF000000"/>
      <name val="Arial"/>
      <family val="0"/>
      <charset val="1"/>
    </font>
    <font>
      <b val="true"/>
      <sz val="10"/>
      <color rgb="FFFFFFFF"/>
      <name val="DejaVu Sans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16A34A"/>
      <name val="DejaVu Sans"/>
      <family val="2"/>
    </font>
    <font>
      <b val="true"/>
      <sz val="10"/>
      <color rgb="FF16A34A"/>
      <name val="Arial"/>
      <family val="0"/>
      <charset val="1"/>
    </font>
    <font>
      <b val="true"/>
      <sz val="11"/>
      <color rgb="FF1A1A1A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10"/>
      <color rgb="FFDB2777"/>
      <name val="DejaVu Sans"/>
      <family val="2"/>
    </font>
    <font>
      <b val="true"/>
      <sz val="10"/>
      <color rgb="FFEAB308"/>
      <name val="DejaVu Sans"/>
      <family val="2"/>
    </font>
    <font>
      <b val="true"/>
      <sz val="10"/>
      <color rgb="FF2563EB"/>
      <name val="DejaVu Sans"/>
      <family val="2"/>
    </font>
    <font>
      <b val="true"/>
      <sz val="12"/>
      <color rgb="FFFFFFFF"/>
      <name val="DejaVu Sans"/>
      <family val="2"/>
    </font>
    <font>
      <b val="true"/>
      <sz val="16"/>
      <color rgb="FFFFFFFF"/>
      <name val="Arial"/>
      <family val="0"/>
      <charset val="1"/>
    </font>
    <font>
      <b val="true"/>
      <sz val="11"/>
      <color rgb="FFFFFFFF"/>
      <name val="DejaVu Sans"/>
      <family val="2"/>
    </font>
    <font>
      <b val="true"/>
      <sz val="16"/>
      <color rgb="FFFF5436"/>
      <name val="DejaVu Sans"/>
      <family val="2"/>
    </font>
    <font>
      <b val="true"/>
      <sz val="16"/>
      <color rgb="FFFF5436"/>
      <name val="Arial"/>
      <family val="0"/>
      <charset val="1"/>
    </font>
    <font>
      <sz val="10"/>
      <color rgb="FF000000"/>
      <name val="DejaVu Sans"/>
      <family val="2"/>
    </font>
    <font>
      <sz val="9"/>
      <color rgb="FF000000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13"/>
      <color rgb="FF1A1A1A"/>
      <name val="DejaVu Sans"/>
      <family val="2"/>
    </font>
    <font>
      <b val="true"/>
      <sz val="13"/>
      <color rgb="FF1A1A1A"/>
      <name val="Arial"/>
      <family val="0"/>
      <charset val="1"/>
    </font>
    <font>
      <sz val="10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4F4F5"/>
        <bgColor rgb="FFF9FAFB"/>
      </patternFill>
    </fill>
    <fill>
      <patternFill patternType="solid">
        <fgColor rgb="FFFFFDE7"/>
        <bgColor rgb="FFF9FAFB"/>
      </patternFill>
    </fill>
    <fill>
      <patternFill patternType="solid">
        <fgColor rgb="FF1A1A1A"/>
        <bgColor rgb="FF333300"/>
      </patternFill>
    </fill>
    <fill>
      <patternFill patternType="solid">
        <fgColor rgb="FFFF5436"/>
        <bgColor rgb="FFFF8080"/>
      </patternFill>
    </fill>
    <fill>
      <patternFill patternType="solid">
        <fgColor rgb="FFF9FA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DCFCE7"/>
        </patternFill>
      </fill>
    </dxf>
    <dxf>
      <fill>
        <patternFill>
          <bgColor rgb="FFFEF9C3"/>
        </patternFill>
      </fill>
    </dxf>
    <dxf>
      <fill>
        <patternFill>
          <bgColor rgb="FF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DB2777"/>
      <rgbColor rgb="FFFEF9C3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4F5"/>
      <rgbColor rgb="FFF9FAFB"/>
      <rgbColor rgb="FFFFFDE7"/>
      <rgbColor rgb="FF99CCFF"/>
      <rgbColor rgb="FFFF99CC"/>
      <rgbColor rgb="FFCC99FF"/>
      <rgbColor rgb="FFFEE2E2"/>
      <rgbColor rgb="FF2563EB"/>
      <rgbColor rgb="FF33CCCC"/>
      <rgbColor rgb="FF99CC00"/>
      <rgbColor rgb="FFEAB308"/>
      <rgbColor rgb="FFFF9900"/>
      <rgbColor rgb="FFFF5436"/>
      <rgbColor rgb="FF6B7280"/>
      <rgbColor rgb="FF969696"/>
      <rgbColor rgb="FF003366"/>
      <rgbColor rgb="FF16A34A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6" min="5" style="0" width="16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15" hidden="false" customHeight="false" outlineLevel="0" collapsed="false">
      <c r="B6" s="4" t="s">
        <v>3</v>
      </c>
      <c r="C6" s="5"/>
      <c r="D6" s="5"/>
      <c r="E6" s="5"/>
    </row>
    <row r="7" customFormat="false" ht="15" hidden="false" customHeight="false" outlineLevel="0" collapsed="false">
      <c r="B7" s="4" t="s">
        <v>4</v>
      </c>
      <c r="C7" s="5"/>
      <c r="D7" s="5"/>
      <c r="E7" s="5"/>
    </row>
    <row r="8" customFormat="false" ht="15" hidden="false" customHeight="false" outlineLevel="0" collapsed="false">
      <c r="B8" s="4" t="s">
        <v>5</v>
      </c>
      <c r="C8" s="5"/>
      <c r="D8" s="5"/>
      <c r="E8" s="5"/>
    </row>
    <row r="9" customFormat="false" ht="15" hidden="false" customHeight="false" outlineLevel="0" collapsed="false">
      <c r="B9" s="4" t="s">
        <v>6</v>
      </c>
      <c r="C9" s="5"/>
      <c r="D9" s="5"/>
      <c r="E9" s="5"/>
    </row>
    <row r="11" customFormat="false" ht="15" hidden="false" customHeight="false" outlineLevel="0" collapsed="false">
      <c r="B11" s="6" t="s">
        <v>7</v>
      </c>
      <c r="C11" s="6" t="s">
        <v>8</v>
      </c>
      <c r="D11" s="6" t="s">
        <v>9</v>
      </c>
      <c r="E11" s="6" t="s">
        <v>10</v>
      </c>
    </row>
    <row r="12" customFormat="false" ht="15" hidden="false" customHeight="false" outlineLevel="0" collapsed="false">
      <c r="B12" s="7" t="s">
        <v>11</v>
      </c>
      <c r="C12" s="8" t="n">
        <f aca="false">IFERROR(AVERAGE(진단!D6:D10)/5*100,0)</f>
        <v>0</v>
      </c>
      <c r="D12" s="9" t="n">
        <f aca="false">설정!B3</f>
        <v>0.3</v>
      </c>
      <c r="E12" s="10" t="str">
        <f aca="false">IF(C12&gt;=80,"🟢 좋음",IF(C12&gt;=50,"🟡 개선 필요","🔴 시급"))</f>
        <v>🔴 시급</v>
      </c>
    </row>
    <row r="13" customFormat="false" ht="15" hidden="false" customHeight="false" outlineLevel="0" collapsed="false">
      <c r="B13" s="11" t="s">
        <v>12</v>
      </c>
      <c r="C13" s="8" t="n">
        <f aca="false">IFERROR(AVERAGE(진단!D11:D15)/5*100,0)</f>
        <v>0</v>
      </c>
      <c r="D13" s="9" t="n">
        <f aca="false">설정!B4</f>
        <v>0.25</v>
      </c>
      <c r="E13" s="10" t="str">
        <f aca="false">IF(C13&gt;=80,"🟢 좋음",IF(C13&gt;=50,"🟡 개선 필요","🔴 시급"))</f>
        <v>🔴 시급</v>
      </c>
    </row>
    <row r="14" customFormat="false" ht="15" hidden="false" customHeight="false" outlineLevel="0" collapsed="false">
      <c r="B14" s="12" t="s">
        <v>13</v>
      </c>
      <c r="C14" s="8" t="n">
        <f aca="false">IFERROR(AVERAGE(진단!D16:D18)/5*100,0)</f>
        <v>0</v>
      </c>
      <c r="D14" s="9" t="n">
        <f aca="false">설정!B5</f>
        <v>0.25</v>
      </c>
      <c r="E14" s="10" t="str">
        <f aca="false">IF(C14&gt;=80,"🟢 좋음",IF(C14&gt;=50,"🟡 개선 필요","🔴 시급"))</f>
        <v>🔴 시급</v>
      </c>
    </row>
    <row r="15" customFormat="false" ht="15" hidden="false" customHeight="false" outlineLevel="0" collapsed="false">
      <c r="B15" s="13" t="s">
        <v>14</v>
      </c>
      <c r="C15" s="8" t="n">
        <f aca="false">IFERROR(AVERAGE(진단!D19:D20)/5*100,0)</f>
        <v>0</v>
      </c>
      <c r="D15" s="9" t="n">
        <f aca="false">설정!B6</f>
        <v>0.2</v>
      </c>
      <c r="E15" s="10" t="str">
        <f aca="false">IF(C15&gt;=80,"🟢 좋음",IF(C15&gt;=50,"🟡 개선 필요","🔴 시급"))</f>
        <v>🔴 시급</v>
      </c>
    </row>
    <row r="17" customFormat="false" ht="19.7" hidden="false" customHeight="false" outlineLevel="0" collapsed="false">
      <c r="B17" s="14" t="s">
        <v>15</v>
      </c>
      <c r="C17" s="15" t="n">
        <f aca="false">SUMPRODUCT(C12:C15,D12:D15)</f>
        <v>0</v>
      </c>
      <c r="D17" s="16"/>
      <c r="E17" s="17" t="str">
        <f aca="false">IF(C17&gt;=80,"🟢 좋음",IF(C17&gt;=50,"🟡 개선 필요","🔴 시급"))</f>
        <v>🔴 시급</v>
      </c>
    </row>
    <row r="19" customFormat="false" ht="15" hidden="false" customHeight="false" outlineLevel="0" collapsed="false">
      <c r="B19" s="18" t="s">
        <v>16</v>
      </c>
      <c r="C19" s="18"/>
      <c r="D19" s="18"/>
      <c r="E19" s="18"/>
    </row>
    <row r="20" customFormat="false" ht="15" hidden="false" customHeight="false" outlineLevel="0" collapsed="false">
      <c r="B20" s="18" t="s">
        <v>17</v>
      </c>
      <c r="C20" s="18"/>
      <c r="D20" s="18"/>
      <c r="E20" s="18"/>
    </row>
  </sheetData>
  <mergeCells count="6">
    <mergeCell ref="C6:E6"/>
    <mergeCell ref="C7:E7"/>
    <mergeCell ref="C8:E8"/>
    <mergeCell ref="C9:E9"/>
    <mergeCell ref="B19:E19"/>
    <mergeCell ref="B20:E20"/>
  </mergeCells>
  <conditionalFormatting sqref="C12:C17">
    <cfRule type="cellIs" priority="2" operator="greaterThanOrEqual" aboveAverage="0" equalAverage="0" bottom="0" percent="0" rank="0" text="" dxfId="0">
      <formula>80</formula>
    </cfRule>
    <cfRule type="cellIs" priority="3" operator="between" aboveAverage="0" equalAverage="0" bottom="0" percent="0" rank="0" text="" dxfId="1">
      <formula>50</formula>
      <formula>79.999</formula>
    </cfRule>
    <cfRule type="cellIs" priority="4" operator="lessThan" aboveAverage="0" equalAverage="0" bottom="0" percent="0" rank="0" text="" dxfId="2">
      <formula>50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11"/>
    <col collapsed="false" customWidth="true" hidden="false" outlineLevel="0" max="5" min="5" style="0" width="42"/>
  </cols>
  <sheetData>
    <row r="2" customFormat="false" ht="19.4" hidden="false" customHeight="false" outlineLevel="0" collapsed="false">
      <c r="B2" s="19" t="s">
        <v>18</v>
      </c>
    </row>
    <row r="3" customFormat="false" ht="15" hidden="false" customHeight="false" outlineLevel="0" collapsed="false">
      <c r="B3" s="3" t="s">
        <v>19</v>
      </c>
    </row>
    <row r="5" customFormat="false" ht="15" hidden="false" customHeight="false" outlineLevel="0" collapsed="false">
      <c r="B5" s="6" t="s">
        <v>7</v>
      </c>
      <c r="C5" s="6" t="s">
        <v>20</v>
      </c>
      <c r="D5" s="6" t="s">
        <v>21</v>
      </c>
      <c r="E5" s="6" t="s">
        <v>22</v>
      </c>
    </row>
    <row r="6" customFormat="false" ht="15" hidden="false" customHeight="false" outlineLevel="0" collapsed="false">
      <c r="B6" s="20" t="s">
        <v>23</v>
      </c>
      <c r="C6" s="21" t="s">
        <v>24</v>
      </c>
      <c r="D6" s="22"/>
      <c r="E6" s="23"/>
    </row>
    <row r="7" customFormat="false" ht="15" hidden="false" customHeight="false" outlineLevel="0" collapsed="false">
      <c r="B7" s="7"/>
      <c r="C7" s="21" t="s">
        <v>25</v>
      </c>
      <c r="D7" s="22"/>
      <c r="E7" s="23"/>
    </row>
    <row r="8" customFormat="false" ht="15" hidden="false" customHeight="false" outlineLevel="0" collapsed="false">
      <c r="B8" s="7"/>
      <c r="C8" s="21" t="s">
        <v>26</v>
      </c>
      <c r="D8" s="22"/>
      <c r="E8" s="23"/>
    </row>
    <row r="9" customFormat="false" ht="15" hidden="false" customHeight="false" outlineLevel="0" collapsed="false">
      <c r="B9" s="7"/>
      <c r="C9" s="21" t="s">
        <v>27</v>
      </c>
      <c r="D9" s="22"/>
      <c r="E9" s="23"/>
    </row>
    <row r="10" customFormat="false" ht="15" hidden="false" customHeight="false" outlineLevel="0" collapsed="false">
      <c r="B10" s="7"/>
      <c r="C10" s="21" t="s">
        <v>28</v>
      </c>
      <c r="D10" s="22"/>
      <c r="E10" s="23"/>
    </row>
    <row r="11" customFormat="false" ht="15" hidden="false" customHeight="false" outlineLevel="0" collapsed="false">
      <c r="B11" s="24" t="s">
        <v>12</v>
      </c>
      <c r="C11" s="21" t="s">
        <v>29</v>
      </c>
      <c r="D11" s="22"/>
      <c r="E11" s="23"/>
    </row>
    <row r="12" customFormat="false" ht="15" hidden="false" customHeight="false" outlineLevel="0" collapsed="false">
      <c r="B12" s="11"/>
      <c r="C12" s="21" t="s">
        <v>30</v>
      </c>
      <c r="D12" s="22"/>
      <c r="E12" s="23"/>
    </row>
    <row r="13" customFormat="false" ht="15" hidden="false" customHeight="false" outlineLevel="0" collapsed="false">
      <c r="B13" s="11"/>
      <c r="C13" s="21" t="s">
        <v>31</v>
      </c>
      <c r="D13" s="22"/>
      <c r="E13" s="23"/>
    </row>
    <row r="14" customFormat="false" ht="15" hidden="false" customHeight="false" outlineLevel="0" collapsed="false">
      <c r="B14" s="11"/>
      <c r="C14" s="21" t="s">
        <v>32</v>
      </c>
      <c r="D14" s="22"/>
      <c r="E14" s="23"/>
    </row>
    <row r="15" customFormat="false" ht="15" hidden="false" customHeight="false" outlineLevel="0" collapsed="false">
      <c r="B15" s="11"/>
      <c r="C15" s="21" t="s">
        <v>33</v>
      </c>
      <c r="D15" s="22"/>
      <c r="E15" s="23"/>
    </row>
    <row r="16" customFormat="false" ht="15" hidden="false" customHeight="false" outlineLevel="0" collapsed="false">
      <c r="B16" s="25" t="s">
        <v>13</v>
      </c>
      <c r="C16" s="21" t="s">
        <v>34</v>
      </c>
      <c r="D16" s="22"/>
      <c r="E16" s="23"/>
    </row>
    <row r="17" customFormat="false" ht="15" hidden="false" customHeight="false" outlineLevel="0" collapsed="false">
      <c r="B17" s="12"/>
      <c r="C17" s="21" t="s">
        <v>35</v>
      </c>
      <c r="D17" s="22"/>
      <c r="E17" s="23"/>
    </row>
    <row r="18" customFormat="false" ht="15" hidden="false" customHeight="false" outlineLevel="0" collapsed="false">
      <c r="B18" s="12"/>
      <c r="C18" s="21" t="s">
        <v>36</v>
      </c>
      <c r="D18" s="22"/>
      <c r="E18" s="23"/>
    </row>
    <row r="19" customFormat="false" ht="15" hidden="false" customHeight="false" outlineLevel="0" collapsed="false">
      <c r="B19" s="26" t="s">
        <v>14</v>
      </c>
      <c r="C19" s="21" t="s">
        <v>37</v>
      </c>
      <c r="D19" s="22"/>
      <c r="E19" s="23"/>
    </row>
    <row r="20" customFormat="false" ht="15" hidden="false" customHeight="false" outlineLevel="0" collapsed="false">
      <c r="B20" s="13"/>
      <c r="C20" s="27" t="s">
        <v>38</v>
      </c>
      <c r="D20" s="22"/>
      <c r="E20" s="23"/>
    </row>
  </sheetData>
  <conditionalFormatting sqref="D6:D20">
    <cfRule type="cellIs" priority="2" operator="lessThanOrEqual" aboveAverage="0" equalAverage="0" bottom="0" percent="0" rank="0" text="" dxfId="2">
      <formula>2</formula>
    </cfRule>
    <cfRule type="cellIs" priority="3" operator="equal" aboveAverage="0" equalAverage="0" bottom="0" percent="0" rank="0" text="" dxfId="1">
      <formula>3</formula>
    </cfRule>
    <cfRule type="cellIs" priority="4" operator="greaterThanOrEqual" aboveAverage="0" equalAverage="0" bottom="0" percent="0" rank="0" text="" dxfId="0">
      <formula>4</formula>
    </cfRule>
  </conditionalFormatting>
  <dataValidations count="1">
    <dataValidation allowBlank="true" error="0에서 5 사이의 정수를 입력하세요." errorStyle="stop" errorTitle="점수 범위" operator="between" showDropDown="false" showErrorMessage="false" showInputMessage="false" sqref="D6:D20" type="whole">
      <formula1>0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9"/>
    <col collapsed="false" customWidth="true" hidden="false" outlineLevel="0" max="6" min="6" style="0" width="40"/>
  </cols>
  <sheetData>
    <row r="2" customFormat="false" ht="19.4" hidden="false" customHeight="false" outlineLevel="0" collapsed="false">
      <c r="B2" s="19" t="s">
        <v>39</v>
      </c>
    </row>
    <row r="3" customFormat="false" ht="15" hidden="false" customHeight="false" outlineLevel="0" collapsed="false">
      <c r="B3" s="3" t="s">
        <v>40</v>
      </c>
    </row>
    <row r="5" customFormat="false" ht="15" hidden="false" customHeight="false" outlineLevel="0" collapsed="false">
      <c r="B5" s="6" t="s">
        <v>41</v>
      </c>
      <c r="C5" s="6" t="s">
        <v>7</v>
      </c>
      <c r="D5" s="6" t="s">
        <v>20</v>
      </c>
      <c r="E5" s="6" t="s">
        <v>42</v>
      </c>
      <c r="F5" s="6" t="s">
        <v>43</v>
      </c>
    </row>
    <row r="6" customFormat="false" ht="15" hidden="false" customHeight="false" outlineLevel="0" collapsed="false">
      <c r="B6" s="8" t="n">
        <f aca="false">5-진단!D6</f>
        <v>5</v>
      </c>
      <c r="C6" s="7" t="s">
        <v>23</v>
      </c>
      <c r="D6" s="27" t="str">
        <f aca="false">진단!C6</f>
        <v>대표 사진 품질 (첫인상)</v>
      </c>
      <c r="E6" s="28" t="n">
        <f aca="false">진단!D6</f>
        <v>0</v>
      </c>
      <c r="F6" s="29"/>
    </row>
    <row r="7" customFormat="false" ht="15" hidden="false" customHeight="false" outlineLevel="0" collapsed="false">
      <c r="B7" s="8" t="n">
        <f aca="false">5-진단!D7</f>
        <v>5</v>
      </c>
      <c r="C7" s="7" t="s">
        <v>23</v>
      </c>
      <c r="D7" s="27" t="str">
        <f aca="false">진단!C7</f>
        <v>키워드·업종 최적화</v>
      </c>
      <c r="E7" s="28" t="n">
        <f aca="false">진단!D7</f>
        <v>0</v>
      </c>
      <c r="F7" s="29"/>
    </row>
    <row r="8" customFormat="false" ht="15" hidden="false" customHeight="false" outlineLevel="0" collapsed="false">
      <c r="B8" s="8" t="n">
        <f aca="false">5-진단!D8</f>
        <v>5</v>
      </c>
      <c r="C8" s="7" t="s">
        <v>23</v>
      </c>
      <c r="D8" s="27" t="str">
        <f aca="false">진단!C8</f>
        <v>정보 최신화 (영업시간·주소·메뉴)</v>
      </c>
      <c r="E8" s="28" t="n">
        <f aca="false">진단!D8</f>
        <v>0</v>
      </c>
      <c r="F8" s="29"/>
    </row>
    <row r="9" customFormat="false" ht="15" hidden="false" customHeight="false" outlineLevel="0" collapsed="false">
      <c r="B9" s="8" t="n">
        <f aca="false">5-진단!D9</f>
        <v>5</v>
      </c>
      <c r="C9" s="7" t="s">
        <v>23</v>
      </c>
      <c r="D9" s="27" t="str">
        <f aca="false">진단!C9</f>
        <v>리뷰 수·응답 관리</v>
      </c>
      <c r="E9" s="28" t="n">
        <f aca="false">진단!D9</f>
        <v>0</v>
      </c>
      <c r="F9" s="29"/>
    </row>
    <row r="10" customFormat="false" ht="15" hidden="false" customHeight="false" outlineLevel="0" collapsed="false">
      <c r="B10" s="8" t="n">
        <f aca="false">5-진단!D10</f>
        <v>5</v>
      </c>
      <c r="C10" s="7" t="s">
        <v>23</v>
      </c>
      <c r="D10" s="27" t="str">
        <f aca="false">진단!C10</f>
        <v>블로그 활동 (포스팅 빈도)</v>
      </c>
      <c r="E10" s="28" t="n">
        <f aca="false">진단!D10</f>
        <v>0</v>
      </c>
      <c r="F10" s="29"/>
    </row>
    <row r="11" customFormat="false" ht="15" hidden="false" customHeight="false" outlineLevel="0" collapsed="false">
      <c r="B11" s="8" t="n">
        <f aca="false">5-진단!D11</f>
        <v>5</v>
      </c>
      <c r="C11" s="11" t="s">
        <v>12</v>
      </c>
      <c r="D11" s="27" t="str">
        <f aca="false">진단!C11</f>
        <v>프로필·바이오·CTA</v>
      </c>
      <c r="E11" s="28" t="n">
        <f aca="false">진단!D11</f>
        <v>0</v>
      </c>
      <c r="F11" s="29"/>
    </row>
    <row r="12" customFormat="false" ht="15" hidden="false" customHeight="false" outlineLevel="0" collapsed="false">
      <c r="B12" s="8" t="n">
        <f aca="false">5-진단!D12</f>
        <v>5</v>
      </c>
      <c r="C12" s="11" t="s">
        <v>12</v>
      </c>
      <c r="D12" s="27" t="str">
        <f aca="false">진단!C12</f>
        <v>링크인바이오 활용도</v>
      </c>
      <c r="E12" s="28" t="n">
        <f aca="false">진단!D12</f>
        <v>0</v>
      </c>
      <c r="F12" s="29"/>
    </row>
    <row r="13" customFormat="false" ht="15" hidden="false" customHeight="false" outlineLevel="0" collapsed="false">
      <c r="B13" s="8" t="n">
        <f aca="false">5-진단!D13</f>
        <v>5</v>
      </c>
      <c r="C13" s="11" t="s">
        <v>12</v>
      </c>
      <c r="D13" s="27" t="str">
        <f aca="false">진단!C13</f>
        <v>게시 일관성 (꾸준함)</v>
      </c>
      <c r="E13" s="28" t="n">
        <f aca="false">진단!D13</f>
        <v>0</v>
      </c>
      <c r="F13" s="29"/>
    </row>
    <row r="14" customFormat="false" ht="15" hidden="false" customHeight="false" outlineLevel="0" collapsed="false">
      <c r="B14" s="8" t="n">
        <f aca="false">5-진단!D14</f>
        <v>5</v>
      </c>
      <c r="C14" s="11" t="s">
        <v>12</v>
      </c>
      <c r="D14" s="27" t="str">
        <f aca="false">진단!C14</f>
        <v>비주얼 퀄리티</v>
      </c>
      <c r="E14" s="28" t="n">
        <f aca="false">진단!D14</f>
        <v>0</v>
      </c>
      <c r="F14" s="29"/>
    </row>
    <row r="15" customFormat="false" ht="15" hidden="false" customHeight="false" outlineLevel="0" collapsed="false">
      <c r="B15" s="8" t="n">
        <f aca="false">5-진단!D15</f>
        <v>5</v>
      </c>
      <c r="C15" s="11" t="s">
        <v>12</v>
      </c>
      <c r="D15" s="27" t="str">
        <f aca="false">진단!C15</f>
        <v>하이라이트 정리</v>
      </c>
      <c r="E15" s="28" t="n">
        <f aca="false">진단!D15</f>
        <v>0</v>
      </c>
      <c r="F15" s="29"/>
    </row>
    <row r="16" customFormat="false" ht="15" hidden="false" customHeight="false" outlineLevel="0" collapsed="false">
      <c r="B16" s="8" t="n">
        <f aca="false">5-진단!D16</f>
        <v>5</v>
      </c>
      <c r="C16" s="12" t="s">
        <v>13</v>
      </c>
      <c r="D16" s="27" t="str">
        <f aca="false">진단!C16</f>
        <v>채널 개설·운영</v>
      </c>
      <c r="E16" s="28" t="n">
        <f aca="false">진단!D16</f>
        <v>0</v>
      </c>
      <c r="F16" s="29"/>
    </row>
    <row r="17" customFormat="false" ht="15" hidden="false" customHeight="false" outlineLevel="0" collapsed="false">
      <c r="B17" s="8" t="n">
        <f aca="false">5-진단!D17</f>
        <v>5</v>
      </c>
      <c r="C17" s="12" t="s">
        <v>13</v>
      </c>
      <c r="D17" s="27" t="str">
        <f aca="false">진단!C17</f>
        <v>알림톡 설정</v>
      </c>
      <c r="E17" s="28" t="n">
        <f aca="false">진단!D17</f>
        <v>0</v>
      </c>
      <c r="F17" s="29"/>
    </row>
    <row r="18" customFormat="false" ht="15" hidden="false" customHeight="false" outlineLevel="0" collapsed="false">
      <c r="B18" s="8" t="n">
        <f aca="false">5-진단!D18</f>
        <v>5</v>
      </c>
      <c r="C18" s="12" t="s">
        <v>13</v>
      </c>
      <c r="D18" s="27" t="str">
        <f aca="false">진단!C18</f>
        <v>고객·단골 확보 (DB)</v>
      </c>
      <c r="E18" s="28" t="n">
        <f aca="false">진단!D18</f>
        <v>0</v>
      </c>
      <c r="F18" s="29"/>
    </row>
    <row r="19" customFormat="false" ht="15" hidden="false" customHeight="false" outlineLevel="0" collapsed="false">
      <c r="B19" s="8" t="n">
        <f aca="false">5-진단!D19</f>
        <v>5</v>
      </c>
      <c r="C19" s="13" t="s">
        <v>14</v>
      </c>
      <c r="D19" s="27" t="str">
        <f aca="false">진단!C19</f>
        <v>구매·예약 경로의 명확성</v>
      </c>
      <c r="E19" s="28" t="n">
        <f aca="false">진단!D19</f>
        <v>0</v>
      </c>
      <c r="F19" s="29"/>
    </row>
    <row r="20" customFormat="false" ht="15" hidden="false" customHeight="false" outlineLevel="0" collapsed="false">
      <c r="B20" s="8" t="n">
        <f aca="false">5-진단!D20</f>
        <v>5</v>
      </c>
      <c r="C20" s="13" t="s">
        <v>14</v>
      </c>
      <c r="D20" s="27" t="str">
        <f aca="false">진단!C20</f>
        <v>DM·문의 응답 속도</v>
      </c>
      <c r="E20" s="28" t="n">
        <f aca="false">진단!D20</f>
        <v>0</v>
      </c>
      <c r="F20" s="29"/>
    </row>
  </sheetData>
  <conditionalFormatting sqref="B6:B20">
    <cfRule type="cellIs" priority="2" operator="greaterThanOrEqual" aboveAverage="0" equalAverage="0" bottom="0" percent="0" rank="0" text="" dxfId="2">
      <formula>3</formula>
    </cfRule>
    <cfRule type="cellIs" priority="3" operator="equal" aboveAverage="0" equalAverage="0" bottom="0" percent="0" rank="0" text="" dxfId="1">
      <formula>2</formula>
    </cfRule>
    <cfRule type="cellIs" priority="4" operator="lessThanOrEqual" aboveAverage="0" equalAverage="0" bottom="0" percent="0" rank="0" text="" dxfId="0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</cols>
  <sheetData>
    <row r="1" customFormat="false" ht="16.4" hidden="false" customHeight="false" outlineLevel="0" collapsed="false">
      <c r="A1" s="30" t="s">
        <v>44</v>
      </c>
    </row>
    <row r="2" customFormat="false" ht="15" hidden="false" customHeight="false" outlineLevel="0" collapsed="false">
      <c r="A2" s="3" t="s">
        <v>45</v>
      </c>
    </row>
    <row r="3" customFormat="false" ht="15" hidden="false" customHeight="false" outlineLevel="0" collapsed="false">
      <c r="A3" s="31" t="s">
        <v>23</v>
      </c>
      <c r="B3" s="32" t="n">
        <v>0.3</v>
      </c>
    </row>
    <row r="4" customFormat="false" ht="15" hidden="false" customHeight="false" outlineLevel="0" collapsed="false">
      <c r="A4" s="31" t="s">
        <v>12</v>
      </c>
      <c r="B4" s="32" t="n">
        <v>0.25</v>
      </c>
    </row>
    <row r="5" customFormat="false" ht="15" hidden="false" customHeight="false" outlineLevel="0" collapsed="false">
      <c r="A5" s="31" t="s">
        <v>13</v>
      </c>
      <c r="B5" s="32" t="n">
        <v>0.25</v>
      </c>
    </row>
    <row r="6" customFormat="false" ht="15" hidden="false" customHeight="false" outlineLevel="0" collapsed="false">
      <c r="A6" s="31" t="s">
        <v>14</v>
      </c>
      <c r="B6" s="32" t="n">
        <v>0.2</v>
      </c>
    </row>
    <row r="7" customFormat="false" ht="15" hidden="false" customHeight="false" outlineLevel="0" collapsed="false">
      <c r="A7" s="31" t="s">
        <v>46</v>
      </c>
      <c r="B7" s="33" t="n">
        <f aca="false">SUM(B3:B6)</f>
        <v>1</v>
      </c>
    </row>
  </sheetData>
  <conditionalFormatting sqref="B7">
    <cfRule type="cellIs" priority="2" operator="notEqual" aboveAverage="0" equalAverage="0" bottom="0" percent="0" rank="0" text="" dxfId="2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2026-06-15T10:47:49Z</dcterms:created>
  <dc:creator>openpyxl</dc:creator>
  <dc:description/>
  <dc:language>en-US</dc:language>
  <cp:lastModifiedBy/>
  <dcterms:modified xsi:type="dcterms:W3CDTF">2026-06-15T10:47:49Z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